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4a2b4db18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540973a060554686"/>
    <x:sheet xmlns:r="http://schemas.openxmlformats.org/officeDocument/2006/relationships" name="AEAT_CNAE_2022_2024" sheetId="2" r:id="R2f382dba95cd4494"/>
    <x:sheet xmlns:r="http://schemas.openxmlformats.org/officeDocument/2006/relationships" name="Filtros_Colapso" sheetId="3" r:id="Rbafbec937b1844e4"/>
    <x:sheet xmlns:r="http://schemas.openxmlformats.org/officeDocument/2006/relationships" name="Casos_MTE" sheetId="4" r:id="R187cbaeee27c49d6"/>
    <x:sheet xmlns:r="http://schemas.openxmlformats.org/officeDocument/2006/relationships" name="Fontes" sheetId="5" r:id="R3712da78bfd6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3557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c6cb2f54141ac" /><Relationship Type="http://schemas.openxmlformats.org/officeDocument/2006/relationships/theme" Target="/xl/theme/theme1.xml" Id="R6ec1a9133b414e6b" /><Relationship Type="http://schemas.openxmlformats.org/officeDocument/2006/relationships/sharedStrings" Target="/xl/sharedStrings.xml" Id="R28421b33dc4d43d4" /><Relationship Type="http://schemas.openxmlformats.org/officeDocument/2006/relationships/worksheet" Target="/xl/worksheets/sheet1.xml" Id="R540973a060554686" /><Relationship Type="http://schemas.openxmlformats.org/officeDocument/2006/relationships/worksheet" Target="/xl/worksheets/sheet2.xml" Id="R2f382dba95cd4494" /><Relationship Type="http://schemas.openxmlformats.org/officeDocument/2006/relationships/worksheet" Target="/xl/worksheets/sheet3.xml" Id="Rbafbec937b1844e4" /><Relationship Type="http://schemas.openxmlformats.org/officeDocument/2006/relationships/worksheet" Target="/xl/worksheets/sheet4.xml" Id="R187cbaeee27c49d6" /><Relationship Type="http://schemas.openxmlformats.org/officeDocument/2006/relationships/worksheet" Target="/xl/worksheets/sheet5.xml" Id="R3712da78bfd64a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302c8d72064d9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dos acidentes — CNAE 41, 42 e 43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'Resumo'!$A$4:$A$7</c:f>
              <c:strCache>
                <c:ptCount val="0"/>
              </c:strCache>
            </c:strRef>
          </c:cat>
          <c:val>
            <c:numRef>
              <c:f>'Resumo'!$B$4:$B$7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'Resumo'!$A$4:$A$7</c:f>
              <c:strCache>
                <c:ptCount val="0"/>
              </c:strCache>
            </c:strRef>
          </c:cat>
          <c:val>
            <c:numRef>
              <c:f>'Resumo'!$C$4:$C$7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'Resumo'!$A$4:$A$7</c:f>
              <c:strCache>
                <c:ptCount val="0"/>
              </c:strCache>
            </c:strRef>
          </c:cat>
          <c:val>
            <c:numRef>
              <c:f>'Resumo'!$D$4:$D$7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302c8d72064d9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d834407f1d4e0c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34" t="str">
        <x:v>Base estatística inicial — acidentes de trabalho na Construção Civil (Brasil)</x:v>
      </x:c>
      <x:c r="B1" s="34"/>
      <x:c r="C1" s="34"/>
      <x:c r="D1" s="34"/>
      <x:c r="E1" s="34"/>
      <x:c r="F1" s="34"/>
      <x:c r="G1" s="34"/>
      <x:c r="H1" s="34"/>
    </x:row>
    <x:row r="2">
      <x:c r="A2" s="35" t="str">
        <x:v>Recorte: CNAE 41, 42 e 43 | AEAT 2022–2024 | Estudo de colapso/desabamento em obras</x:v>
      </x:c>
      <x:c r="B2" s="35"/>
      <x:c r="C2" s="35"/>
      <x:c r="D2" s="35"/>
      <x:c r="E2" s="35"/>
      <x:c r="F2" s="35"/>
      <x:c r="G2" s="35"/>
      <x:c r="H2" s="35"/>
    </x:row>
    <x:row r="3">
      <x:c r="A3" s="36"/>
      <x:c r="B3" s="36"/>
      <x:c r="C3" s="36"/>
      <x:c r="D3" s="36"/>
      <x:c r="E3" s="36"/>
      <x:c r="F3" s="36"/>
      <x:c r="G3" s="36"/>
      <x:c r="H3" s="36"/>
    </x:row>
    <x:row r="4">
      <x:c r="A4" s="37" t="str">
        <x:v>Indicador</x:v>
      </x:c>
      <x:c r="B4" s="37" t="str">
        <x:v>2022</x:v>
      </x:c>
      <x:c r="C4" s="37" t="str">
        <x:v>2023</x:v>
      </x:c>
      <x:c r="D4" s="37" t="str">
        <x:v>2024</x:v>
      </x:c>
      <x:c r="E4" s="36"/>
      <x:c r="F4" s="37" t="str">
        <x:v>Variação</x:v>
      </x:c>
      <x:c r="G4" s="37" t="str">
        <x:v>Fórmula</x:v>
      </x:c>
      <x:c r="H4" s="37" t="str">
        <x:v>Resultado</x:v>
      </x:c>
    </x:row>
    <x:row r="5">
      <x:c r="A5" s="36" t="str">
        <x:v>Total de acidentes — CNAE 41, 42 e 43</x:v>
      </x:c>
      <x:c r="B5" s="36" t="n">
        <x:v>43452</x:v>
      </x:c>
      <x:c r="C5" s="36" t="n">
        <x:v>46672</x:v>
      </x:c>
      <x:c r="D5" s="36" t="n">
        <x:v>50789</x:v>
      </x:c>
      <x:c r="E5" s="36"/>
      <x:c r="F5" s="36" t="str">
        <x:v>Total 2022→2024</x:v>
      </x:c>
      <x:c r="G5" s="36" t="str">
        <x:v>(2024/2022)-1</x:v>
      </x:c>
      <x:c r="H5" s="38" t="n">
        <x:f>D5/B5-1</x:f>
        <x:v>0.16885298720427144</x:v>
      </x:c>
    </x:row>
    <x:row r="6">
      <x:c r="A6" s="36" t="str">
        <x:v>Com CAT registrada</x:v>
      </x:c>
      <x:c r="B6" s="36" t="n">
        <x:v>37905</x:v>
      </x:c>
      <x:c r="C6" s="36" t="n">
        <x:v>40292</x:v>
      </x:c>
      <x:c r="D6" s="36" t="n">
        <x:v>44091</x:v>
      </x:c>
      <x:c r="E6" s="36"/>
      <x:c r="F6" s="36" t="str">
        <x:v>Típicos 2022→2024</x:v>
      </x:c>
      <x:c r="G6" s="36" t="str">
        <x:v>(2024/2022)-1</x:v>
      </x:c>
      <x:c r="H6" s="38" t="n">
        <x:f>D7/B7-1</x:f>
        <x:v>0.1270952351057819</x:v>
      </x:c>
    </x:row>
    <x:row r="7">
      <x:c r="A7" s="36" t="str">
        <x:v>Típicos com CAT registrada</x:v>
      </x:c>
      <x:c r="B7" s="36" t="n">
        <x:v>31858</x:v>
      </x:c>
      <x:c r="C7" s="36" t="n">
        <x:v>33451</x:v>
      </x:c>
      <x:c r="D7" s="36" t="n">
        <x:v>35907</x:v>
      </x:c>
      <x:c r="E7" s="36"/>
      <x:c r="F7" s="36" t="str">
        <x:v>Total 2023→2024</x:v>
      </x:c>
      <x:c r="G7" s="36" t="str">
        <x:v>(2024/2023)-1</x:v>
      </x:c>
      <x:c r="H7" s="38" t="n">
        <x:f>D5/C5-1</x:f>
        <x:v>0.08821134727459712</x:v>
      </x:c>
    </x:row>
    <x:row r="8">
      <x:c r="A8" s="36"/>
      <x:c r="B8" s="36"/>
      <x:c r="C8" s="36"/>
      <x:c r="D8" s="36"/>
      <x:c r="E8" s="36"/>
      <x:c r="F8" s="36"/>
      <x:c r="G8" s="36"/>
      <x:c r="H8" s="36"/>
    </x:row>
    <x:row r="9">
      <x:c r="A9" s="37" t="str">
        <x:v>Nível</x:v>
      </x:c>
      <x:c r="B9" s="37" t="str">
        <x:v>Campo / código</x:v>
      </x:c>
      <x:c r="C9" s="37" t="str">
        <x:v>Descrição</x:v>
      </x:c>
      <x:c r="D9" s="37" t="str">
        <x:v>Uso</x:v>
      </x:c>
      <x:c r="E9" s="36"/>
      <x:c r="F9" s="36"/>
      <x:c r="G9" s="36"/>
      <x:c r="H9" s="36"/>
    </x:row>
    <x:row r="10">
      <x:c r="A10" s="36" t="str">
        <x:v>Primário</x:v>
      </x:c>
      <x:c r="B10" s="36" t="str">
        <x:v>Situação geradora 200020700</x:v>
      </x:c>
      <x:c r="C10" s="36" t="str">
        <x:v>Aprisionamento em/sob/entre desabamento ou desmoronamento de edificação, barreira etc.</x:v>
      </x:c>
      <x:c r="D10" s="36" t="str">
        <x:v>Marcador mais específico.</x:v>
      </x:c>
      <x:c r="E10" s="36"/>
      <x:c r="F10" s="36"/>
      <x:c r="G10" s="36"/>
      <x:c r="H10" s="36"/>
    </x:row>
    <x:row r="11">
      <x:c r="A11" s="36" t="str">
        <x:v>Secundário</x:v>
      </x:c>
      <x:c r="B11" s="36" t="str">
        <x:v>Agentes 30205xxxx</x:v>
      </x:c>
      <x:c r="C11" s="36" t="str">
        <x:v>Edifício/estrutura, ponte/viaduto, andaime/plataforma, torre/poste etc.</x:v>
      </x:c>
      <x:c r="D11" s="36" t="str">
        <x:v>Selecionar candidatos e validar.</x:v>
      </x:c>
      <x:c r="E11" s="36"/>
      <x:c r="F11" s="36"/>
      <x:c r="G11" s="36"/>
      <x:c r="H11" s="36"/>
    </x:row>
    <x:row r="12">
      <x:c r="A12" s="36" t="str">
        <x:v>Secundário</x:v>
      </x:c>
      <x:c r="B12" s="36" t="str">
        <x:v>Agentes 30207xxxx</x:v>
      </x:c>
      <x:c r="C12" s="36" t="str">
        <x:v>Escavação, canal/fosso, túnel etc.</x:v>
      </x:c>
      <x:c r="D12" s="36" t="str">
        <x:v>Selecionar candidatos e validar.</x:v>
      </x:c>
      <x:c r="E12" s="36"/>
      <x:c r="F12" s="36"/>
      <x:c r="G12" s="36"/>
      <x:c r="H12" s="36"/>
    </x:row>
    <x:row r="13">
      <x:c r="A13" s="36" t="str">
        <x:v>Exclusão</x:v>
      </x:c>
      <x:c r="B13" s="36" t="str">
        <x:v>Quedas sem colapso</x:v>
      </x:c>
      <x:c r="C13" s="36" t="str">
        <x:v>Queda de altura sem falha/colapso estrutural.</x:v>
      </x:c>
      <x:c r="D13" s="36" t="str">
        <x:v>Não classificar automaticamente como colapso.</x:v>
      </x:c>
      <x:c r="E13" s="36"/>
      <x:c r="F13" s="36"/>
      <x:c r="G13" s="36"/>
      <x:c r="H13" s="36"/>
    </x:row>
    <x:row r="14">
      <x:c r="A14" s="36" t="str">
        <x:v>Recorte</x:v>
      </x:c>
      <x:c r="B14" s="36" t="str">
        <x:v>CNAE 41, 42 e 43</x:v>
      </x:c>
      <x:c r="C14" s="36" t="str">
        <x:v>Construção de edifícios, infraestrutura e serviços especializados.</x:v>
      </x:c>
      <x:c r="D14" s="36" t="str">
        <x:v>Universo do estudo.</x:v>
      </x:c>
      <x:c r="E14" s="36"/>
      <x:c r="F14" s="36"/>
      <x:c r="G14" s="36"/>
      <x:c r="H14" s="36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54d834407f1d4e0c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1" t="str">
        <x:v>CNAE</x:v>
      </x:c>
      <x:c r="B1" s="21" t="str">
        <x:v>Atividade</x:v>
      </x:c>
      <x:c r="C1" s="21" t="str">
        <x:v>Total 2022</x:v>
      </x:c>
      <x:c r="D1" s="21" t="str">
        <x:v>Total 2023</x:v>
      </x:c>
      <x:c r="E1" s="21" t="str">
        <x:v>Total 2024</x:v>
      </x:c>
      <x:c r="F1" s="21" t="str">
        <x:v>Com CAT 2022</x:v>
      </x:c>
      <x:c r="G1" s="21" t="str">
        <x:v>Com CAT 2023</x:v>
      </x:c>
      <x:c r="H1" s="21" t="str">
        <x:v>Com CAT 2024</x:v>
      </x:c>
      <x:c r="I1" s="21" t="str">
        <x:v>Típicos 2022</x:v>
      </x:c>
      <x:c r="J1" s="21" t="str">
        <x:v>Típicos 2023</x:v>
      </x:c>
      <x:c r="K1" s="21" t="str">
        <x:v>Típicos 2024</x:v>
      </x:c>
      <x:c r="L1" s="21" t="str">
        <x:v>Var. total 22→24</x:v>
      </x:c>
    </x:row>
    <x:row r="2">
      <x:c r="A2" t="n">
        <x:v>4110</x:v>
      </x:c>
      <x:c r="B2" s="36" t="str">
        <x:v>Incorporação de empreendimentos imobiliários</x:v>
      </x:c>
      <x:c r="C2" t="n">
        <x:v>3433</x:v>
      </x:c>
      <x:c r="D2" t="n">
        <x:v>2250</x:v>
      </x:c>
      <x:c r="E2" t="n">
        <x:v>2599</x:v>
      </x:c>
      <x:c r="F2" t="n">
        <x:v>3029</x:v>
      </x:c>
      <x:c r="G2" t="n">
        <x:v>1848</x:v>
      </x:c>
      <x:c r="H2" t="n">
        <x:v>2213</x:v>
      </x:c>
      <x:c r="I2" t="n">
        <x:v>2417</x:v>
      </x:c>
      <x:c r="J2" t="n">
        <x:v>1458</x:v>
      </x:c>
      <x:c r="K2" t="n">
        <x:v>1747</x:v>
      </x:c>
      <x:c r="L2" s="2" t="n">
        <x:f>E2/C2-1</x:f>
        <x:v>-0.24293620739877653</x:v>
      </x:c>
    </x:row>
    <x:row r="3">
      <x:c r="A3" t="n">
        <x:v>4120</x:v>
      </x:c>
      <x:c r="B3" s="36" t="str">
        <x:v>Construção de edifícios</x:v>
      </x:c>
      <x:c r="C3" t="n">
        <x:v>13738</x:v>
      </x:c>
      <x:c r="D3" t="n">
        <x:v>13551</x:v>
      </x:c>
      <x:c r="E3" t="n">
        <x:v>14832</x:v>
      </x:c>
      <x:c r="F3" t="n">
        <x:v>11742</x:v>
      </x:c>
      <x:c r="G3" t="n">
        <x:v>11165</x:v>
      </x:c>
      <x:c r="H3" t="n">
        <x:v>12421</x:v>
      </x:c>
      <x:c r="I3" t="n">
        <x:v>9936</x:v>
      </x:c>
      <x:c r="J3" t="n">
        <x:v>9412</x:v>
      </x:c>
      <x:c r="K3" t="n">
        <x:v>10260</x:v>
      </x:c>
      <x:c r="L3" s="2" t="n">
        <x:f>E3/C3-1</x:f>
        <x:v>0.0796331343718153</x:v>
      </x:c>
    </x:row>
    <x:row r="4">
      <x:c r="A4" t="n">
        <x:v>4211</x:v>
      </x:c>
      <x:c r="B4" s="36" t="str">
        <x:v>Construção de rodovias e ferrovias</x:v>
      </x:c>
      <x:c r="C4" t="n">
        <x:v>3118</x:v>
      </x:c>
      <x:c r="D4" t="n">
        <x:v>3569</x:v>
      </x:c>
      <x:c r="E4" t="n">
        <x:v>3548</x:v>
      </x:c>
      <x:c r="F4" t="n">
        <x:v>2689</x:v>
      </x:c>
      <x:c r="G4" t="n">
        <x:v>3074</x:v>
      </x:c>
      <x:c r="H4" t="n">
        <x:v>2984</x:v>
      </x:c>
      <x:c r="I4" t="n">
        <x:v>2362</x:v>
      </x:c>
      <x:c r="J4" t="n">
        <x:v>2681</x:v>
      </x:c>
      <x:c r="K4" t="n">
        <x:v>2580</x:v>
      </x:c>
      <x:c r="L4" s="2" t="n">
        <x:f>E4/C4-1</x:f>
        <x:v>0.1379089159717768</x:v>
      </x:c>
    </x:row>
    <x:row r="5">
      <x:c r="A5" t="n">
        <x:v>4212</x:v>
      </x:c>
      <x:c r="B5" s="36" t="str">
        <x:v>Construção de obras-de-arte especiais</x:v>
      </x:c>
      <x:c r="C5" t="n">
        <x:v>294</x:v>
      </x:c>
      <x:c r="D5" t="n">
        <x:v>240</x:v>
      </x:c>
      <x:c r="E5" t="n">
        <x:v>307</x:v>
      </x:c>
      <x:c r="F5" t="n">
        <x:v>251</x:v>
      </x:c>
      <x:c r="G5" t="n">
        <x:v>201</x:v>
      </x:c>
      <x:c r="H5" t="n">
        <x:v>248</x:v>
      </x:c>
      <x:c r="I5" t="n">
        <x:v>221</x:v>
      </x:c>
      <x:c r="J5" t="n">
        <x:v>175</x:v>
      </x:c>
      <x:c r="K5" t="n">
        <x:v>180</x:v>
      </x:c>
      <x:c r="L5" s="2" t="n">
        <x:f>E5/C5-1</x:f>
        <x:v>0.04421768707482987</x:v>
      </x:c>
    </x:row>
    <x:row r="6">
      <x:c r="A6" t="n">
        <x:v>4213</x:v>
      </x:c>
      <x:c r="B6" s="36" t="str">
        <x:v>Obras de urbanização</x:v>
      </x:c>
      <x:c r="C6" t="n">
        <x:v>986</x:v>
      </x:c>
      <x:c r="D6" t="n">
        <x:v>1266</x:v>
      </x:c>
      <x:c r="E6" t="n">
        <x:v>1452</x:v>
      </x:c>
      <x:c r="F6" t="n">
        <x:v>842</x:v>
      </x:c>
      <x:c r="G6" t="n">
        <x:v>1079</x:v>
      </x:c>
      <x:c r="H6" t="n">
        <x:v>1252</x:v>
      </x:c>
      <x:c r="I6" t="n">
        <x:v>712</x:v>
      </x:c>
      <x:c r="J6" t="n">
        <x:v>930</x:v>
      </x:c>
      <x:c r="K6" t="n">
        <x:v>1075</x:v>
      </x:c>
      <x:c r="L6" s="2" t="n">
        <x:f>E6/C6-1</x:f>
        <x:v>0.4726166328600405</x:v>
      </x:c>
    </x:row>
    <x:row r="7">
      <x:c r="A7" t="n">
        <x:v>4221</x:v>
      </x:c>
      <x:c r="B7" s="36" t="str">
        <x:v>Obras de energia e telecomunicações</x:v>
      </x:c>
      <x:c r="C7" t="n">
        <x:v>3865</x:v>
      </x:c>
      <x:c r="D7" t="n">
        <x:v>3845</x:v>
      </x:c>
      <x:c r="E7" t="n">
        <x:v>3764</x:v>
      </x:c>
      <x:c r="F7" t="n">
        <x:v>3284</x:v>
      </x:c>
      <x:c r="G7" t="n">
        <x:v>3349</x:v>
      </x:c>
      <x:c r="H7" t="n">
        <x:v>3273</x:v>
      </x:c>
      <x:c r="I7" t="n">
        <x:v>2866</x:v>
      </x:c>
      <x:c r="J7" t="n">
        <x:v>2823</x:v>
      </x:c>
      <x:c r="K7" t="n">
        <x:v>2703</x:v>
      </x:c>
      <x:c r="L7" s="2" t="n">
        <x:f>E7/C7-1</x:f>
        <x:v>-0.02613195342820185</x:v>
      </x:c>
    </x:row>
    <x:row r="8">
      <x:c r="A8" t="n">
        <x:v>4222</x:v>
      </x:c>
      <x:c r="B8" s="36" t="str">
        <x:v>Redes de água e esgoto</x:v>
      </x:c>
      <x:c r="C8" t="n">
        <x:v>912</x:v>
      </x:c>
      <x:c r="D8" t="n">
        <x:v>876</x:v>
      </x:c>
      <x:c r="E8" t="n">
        <x:v>1093</x:v>
      </x:c>
      <x:c r="F8" t="n">
        <x:v>820</x:v>
      </x:c>
      <x:c r="G8" t="n">
        <x:v>751</x:v>
      </x:c>
      <x:c r="H8" t="n">
        <x:v>952</x:v>
      </x:c>
      <x:c r="I8" t="n">
        <x:v>695</x:v>
      </x:c>
      <x:c r="J8" t="n">
        <x:v>617</x:v>
      </x:c>
      <x:c r="K8" t="n">
        <x:v>756</x:v>
      </x:c>
      <x:c r="L8" s="2" t="n">
        <x:f>E8/C8-1</x:f>
        <x:v>0.19846491228070184</x:v>
      </x:c>
    </x:row>
    <x:row r="9">
      <x:c r="A9" t="n">
        <x:v>4223</x:v>
      </x:c>
      <x:c r="B9" s="36" t="str">
        <x:v>Redes por dutos</x:v>
      </x:c>
      <x:c r="C9" t="n">
        <x:v>24</x:v>
      </x:c>
      <x:c r="D9" t="n">
        <x:v>47</x:v>
      </x:c>
      <x:c r="E9" t="n">
        <x:v>41</x:v>
      </x:c>
      <x:c r="F9" t="n">
        <x:v>21</x:v>
      </x:c>
      <x:c r="G9" t="n">
        <x:v>39</x:v>
      </x:c>
      <x:c r="H9" t="n">
        <x:v>29</x:v>
      </x:c>
      <x:c r="I9" t="n">
        <x:v>20</x:v>
      </x:c>
      <x:c r="J9" t="n">
        <x:v>33</x:v>
      </x:c>
      <x:c r="K9" t="n">
        <x:v>23</x:v>
      </x:c>
      <x:c r="L9" s="2" t="n">
        <x:f>E9/C9-1</x:f>
        <x:v>0.7083333333333333</x:v>
      </x:c>
    </x:row>
    <x:row r="10">
      <x:c r="A10" t="n">
        <x:v>4291</x:v>
      </x:c>
      <x:c r="B10" s="36" t="str">
        <x:v>Obras portuárias, marítimas e fluviais</x:v>
      </x:c>
      <x:c r="C10" t="n">
        <x:v>80</x:v>
      </x:c>
      <x:c r="D10" t="n">
        <x:v>51</x:v>
      </x:c>
      <x:c r="E10" t="n">
        <x:v>80</x:v>
      </x:c>
      <x:c r="F10" t="n">
        <x:v>72</x:v>
      </x:c>
      <x:c r="G10" t="n">
        <x:v>44</x:v>
      </x:c>
      <x:c r="H10" t="n">
        <x:v>72</x:v>
      </x:c>
      <x:c r="I10" t="n">
        <x:v>69</x:v>
      </x:c>
      <x:c r="J10" t="n">
        <x:v>37</x:v>
      </x:c>
      <x:c r="K10" t="n">
        <x:v>55</x:v>
      </x:c>
      <x:c r="L10" s="2" t="n">
        <x:f>E10/C10-1</x:f>
        <x:v>0</x:v>
      </x:c>
    </x:row>
    <x:row r="11">
      <x:c r="A11" t="n">
        <x:v>4292</x:v>
      </x:c>
      <x:c r="B11" s="36" t="str">
        <x:v>Montagem industrial e estruturas metálicas</x:v>
      </x:c>
      <x:c r="C11" t="n">
        <x:v>2058</x:v>
      </x:c>
      <x:c r="D11" t="n">
        <x:v>2386</x:v>
      </x:c>
      <x:c r="E11" t="n">
        <x:v>2430</x:v>
      </x:c>
      <x:c r="F11" t="n">
        <x:v>1847</x:v>
      </x:c>
      <x:c r="G11" t="n">
        <x:v>2149</x:v>
      </x:c>
      <x:c r="H11" t="n">
        <x:v>2168</x:v>
      </x:c>
      <x:c r="I11" t="n">
        <x:v>1638</x:v>
      </x:c>
      <x:c r="J11" t="n">
        <x:v>1903</x:v>
      </x:c>
      <x:c r="K11" t="n">
        <x:v>1892</x:v>
      </x:c>
      <x:c r="L11" s="2" t="n">
        <x:f>E11/C11-1</x:f>
        <x:v>0.18075801749271148</x:v>
      </x:c>
    </x:row>
    <x:row r="12">
      <x:c r="A12" t="n">
        <x:v>4299</x:v>
      </x:c>
      <x:c r="B12" s="36" t="str">
        <x:v>Outras obras de engenharia civil</x:v>
      </x:c>
      <x:c r="C12" t="n">
        <x:v>1677</x:v>
      </x:c>
      <x:c r="D12" t="n">
        <x:v>2028</x:v>
      </x:c>
      <x:c r="E12" t="n">
        <x:v>2073</x:v>
      </x:c>
      <x:c r="F12" t="n">
        <x:v>1440</x:v>
      </x:c>
      <x:c r="G12" t="n">
        <x:v>1733</x:v>
      </x:c>
      <x:c r="H12" t="n">
        <x:v>1781</x:v>
      </x:c>
      <x:c r="I12" t="n">
        <x:v>1212</x:v>
      </x:c>
      <x:c r="J12" t="n">
        <x:v>1439</x:v>
      </x:c>
      <x:c r="K12" t="n">
        <x:v>1458</x:v>
      </x:c>
      <x:c r="L12" s="2" t="n">
        <x:f>E12/C12-1</x:f>
        <x:v>0.23613595706618962</x:v>
      </x:c>
    </x:row>
    <x:row r="13">
      <x:c r="A13" t="n">
        <x:v>4311</x:v>
      </x:c>
      <x:c r="B13" s="36" t="str">
        <x:v>Demolição e preparação de canteiros</x:v>
      </x:c>
      <x:c r="C13" t="n">
        <x:v>82</x:v>
      </x:c>
      <x:c r="D13" t="n">
        <x:v>113</x:v>
      </x:c>
      <x:c r="E13" t="n">
        <x:v>121</x:v>
      </x:c>
      <x:c r="F13" t="n">
        <x:v>73</x:v>
      </x:c>
      <x:c r="G13" t="n">
        <x:v>95</x:v>
      </x:c>
      <x:c r="H13" t="n">
        <x:v>106</x:v>
      </x:c>
      <x:c r="I13" t="n">
        <x:v>61</x:v>
      </x:c>
      <x:c r="J13" t="n">
        <x:v>85</x:v>
      </x:c>
      <x:c r="K13" t="n">
        <x:v>88</x:v>
      </x:c>
      <x:c r="L13" s="2" t="n">
        <x:f>E13/C13-1</x:f>
        <x:v>0.47560975609756095</x:v>
      </x:c>
    </x:row>
    <x:row r="14">
      <x:c r="A14" t="n">
        <x:v>4312</x:v>
      </x:c>
      <x:c r="B14" s="36" t="str">
        <x:v>Perfurações e sondagens</x:v>
      </x:c>
      <x:c r="C14" t="n">
        <x:v>198</x:v>
      </x:c>
      <x:c r="D14" t="n">
        <x:v>248</x:v>
      </x:c>
      <x:c r="E14" t="n">
        <x:v>237</x:v>
      </x:c>
      <x:c r="F14" t="n">
        <x:v>170</x:v>
      </x:c>
      <x:c r="G14" t="n">
        <x:v>217</x:v>
      </x:c>
      <x:c r="H14" t="n">
        <x:v>203</x:v>
      </x:c>
      <x:c r="I14" t="n">
        <x:v>161</x:v>
      </x:c>
      <x:c r="J14" t="n">
        <x:v>196</x:v>
      </x:c>
      <x:c r="K14" t="n">
        <x:v>179</x:v>
      </x:c>
      <x:c r="L14" s="2" t="n">
        <x:f>E14/C14-1</x:f>
        <x:v>0.19696969696969702</x:v>
      </x:c>
    </x:row>
    <x:row r="15">
      <x:c r="A15" t="n">
        <x:v>4313</x:v>
      </x:c>
      <x:c r="B15" s="36" t="str">
        <x:v>Obras de terraplenagem</x:v>
      </x:c>
      <x:c r="C15" t="n">
        <x:v>1044</x:v>
      </x:c>
      <x:c r="D15" t="n">
        <x:v>1304</x:v>
      </x:c>
      <x:c r="E15" t="n">
        <x:v>1335</x:v>
      </x:c>
      <x:c r="F15" t="n">
        <x:v>907</x:v>
      </x:c>
      <x:c r="G15" t="n">
        <x:v>1105</x:v>
      </x:c>
      <x:c r="H15" t="n">
        <x:v>1152</x:v>
      </x:c>
      <x:c r="I15" t="n">
        <x:v>724</x:v>
      </x:c>
      <x:c r="J15" t="n">
        <x:v>877</x:v>
      </x:c>
      <x:c r="K15" t="n">
        <x:v>895</x:v>
      </x:c>
      <x:c r="L15" s="2" t="n">
        <x:f>E15/C15-1</x:f>
        <x:v>0.27873563218390807</x:v>
      </x:c>
    </x:row>
    <x:row r="16">
      <x:c r="A16" t="n">
        <x:v>4319</x:v>
      </x:c>
      <x:c r="B16" s="36" t="str">
        <x:v>Outros serviços de preparação do terreno</x:v>
      </x:c>
      <x:c r="C16" t="n">
        <x:v>82</x:v>
      </x:c>
      <x:c r="D16" t="n">
        <x:v>101</x:v>
      </x:c>
      <x:c r="E16" t="n">
        <x:v>115</x:v>
      </x:c>
      <x:c r="F16" t="n">
        <x:v>63</x:v>
      </x:c>
      <x:c r="G16" t="n">
        <x:v>71</x:v>
      </x:c>
      <x:c r="H16" t="n">
        <x:v>91</x:v>
      </x:c>
      <x:c r="I16" t="n">
        <x:v>50</x:v>
      </x:c>
      <x:c r="J16" t="n">
        <x:v>57</x:v>
      </x:c>
      <x:c r="K16" t="n">
        <x:v>73</x:v>
      </x:c>
      <x:c r="L16" s="2" t="n">
        <x:f>E16/C16-1</x:f>
        <x:v>0.4024390243902438</x:v>
      </x:c>
    </x:row>
    <x:row r="17">
      <x:c r="A17" t="n">
        <x:v>4321</x:v>
      </x:c>
      <x:c r="B17" s="36" t="str">
        <x:v>Instalações elétricas</x:v>
      </x:c>
      <x:c r="C17" t="n">
        <x:v>3480</x:v>
      </x:c>
      <x:c r="D17" t="n">
        <x:v>4449</x:v>
      </x:c>
      <x:c r="E17" t="n">
        <x:v>5039</x:v>
      </x:c>
      <x:c r="F17" t="n">
        <x:v>3140</x:v>
      </x:c>
      <x:c r="G17" t="n">
        <x:v>4021</x:v>
      </x:c>
      <x:c r="H17" t="n">
        <x:v>4527</x:v>
      </x:c>
      <x:c r="I17" t="n">
        <x:v>2431</x:v>
      </x:c>
      <x:c r="J17" t="n">
        <x:v>3080</x:v>
      </x:c>
      <x:c r="K17" t="n">
        <x:v>3377</x:v>
      </x:c>
      <x:c r="L17" s="2" t="n">
        <x:f>E17/C17-1</x:f>
        <x:v>0.44798850574712645</x:v>
      </x:c>
    </x:row>
    <x:row r="18">
      <x:c r="A18" t="n">
        <x:v>4322</x:v>
      </x:c>
      <x:c r="B18" s="36" t="str">
        <x:v>Instalações hidráulicas/ventilação/refrigeração</x:v>
      </x:c>
      <x:c r="C18" t="n">
        <x:v>1259</x:v>
      </x:c>
      <x:c r="D18" t="n">
        <x:v>1784</x:v>
      </x:c>
      <x:c r="E18" t="n">
        <x:v>2125</x:v>
      </x:c>
      <x:c r="F18" t="n">
        <x:v>1154</x:v>
      </x:c>
      <x:c r="G18" t="n">
        <x:v>1638</x:v>
      </x:c>
      <x:c r="H18" t="n">
        <x:v>1958</x:v>
      </x:c>
      <x:c r="I18" t="n">
        <x:v>883</x:v>
      </x:c>
      <x:c r="J18" t="n">
        <x:v>1222</x:v>
      </x:c>
      <x:c r="K18" t="n">
        <x:v>1461</x:v>
      </x:c>
      <x:c r="L18" s="2" t="n">
        <x:f>E18/C18-1</x:f>
        <x:v>0.687847498014297</x:v>
      </x:c>
    </x:row>
    <x:row r="19">
      <x:c r="A19" t="n">
        <x:v>4329</x:v>
      </x:c>
      <x:c r="B19" s="36" t="str">
        <x:v>Outras instalações em construções</x:v>
      </x:c>
      <x:c r="C19" t="n">
        <x:v>1090</x:v>
      </x:c>
      <x:c r="D19" t="n">
        <x:v>1217</x:v>
      </x:c>
      <x:c r="E19" t="n">
        <x:v>1396</x:v>
      </x:c>
      <x:c r="F19" t="n">
        <x:v>960</x:v>
      </x:c>
      <x:c r="G19" t="n">
        <x:v>1095</x:v>
      </x:c>
      <x:c r="H19" t="n">
        <x:v>1245</x:v>
      </x:c>
      <x:c r="I19" t="n">
        <x:v>732</x:v>
      </x:c>
      <x:c r="J19" t="n">
        <x:v>828</x:v>
      </x:c>
      <x:c r="K19" t="n">
        <x:v>942</x:v>
      </x:c>
      <x:c r="L19" s="2" t="n">
        <x:f>E19/C19-1</x:f>
        <x:v>0.2807339449541284</x:v>
      </x:c>
    </x:row>
    <x:row r="20">
      <x:c r="A20" t="n">
        <x:v>4330</x:v>
      </x:c>
      <x:c r="B20" s="36" t="str">
        <x:v>Obras de acabamento</x:v>
      </x:c>
      <x:c r="C20" t="n">
        <x:v>1895</x:v>
      </x:c>
      <x:c r="D20" t="n">
        <x:v>2298</x:v>
      </x:c>
      <x:c r="E20" t="n">
        <x:v>2516</x:v>
      </x:c>
      <x:c r="F20" t="n">
        <x:v>1690</x:v>
      </x:c>
      <x:c r="G20" t="n">
        <x:v>2063</x:v>
      </x:c>
      <x:c r="H20" t="n">
        <x:v>2299</x:v>
      </x:c>
      <x:c r="I20" t="n">
        <x:v>1414</x:v>
      </x:c>
      <x:c r="J20" t="n">
        <x:v>1714</x:v>
      </x:c>
      <x:c r="K20" t="n">
        <x:v>1862</x:v>
      </x:c>
      <x:c r="L20" s="2" t="n">
        <x:f>E20/C20-1</x:f>
        <x:v>0.3277044854881266</x:v>
      </x:c>
    </x:row>
    <x:row r="21">
      <x:c r="A21" t="n">
        <x:v>4391</x:v>
      </x:c>
      <x:c r="B21" s="36" t="str">
        <x:v>Obras de fundações</x:v>
      </x:c>
      <x:c r="C21" t="n">
        <x:v>576</x:v>
      </x:c>
      <x:c r="D21" t="n">
        <x:v>739</x:v>
      </x:c>
      <x:c r="E21" t="n">
        <x:v>792</x:v>
      </x:c>
      <x:c r="F21" t="n">
        <x:v>514</x:v>
      </x:c>
      <x:c r="G21" t="n">
        <x:v>668</x:v>
      </x:c>
      <x:c r="H21" t="n">
        <x:v>709</x:v>
      </x:c>
      <x:c r="I21" t="n">
        <x:v>482</x:v>
      </x:c>
      <x:c r="J21" t="n">
        <x:v>612</x:v>
      </x:c>
      <x:c r="K21" t="n">
        <x:v>645</x:v>
      </x:c>
      <x:c r="L21" s="2" t="n">
        <x:f>E21/C21-1</x:f>
        <x:v>0.375</x:v>
      </x:c>
    </x:row>
    <x:row r="22">
      <x:c r="A22" t="n">
        <x:v>4399</x:v>
      </x:c>
      <x:c r="B22" s="36" t="str">
        <x:v>Outros serviços especializados para construção</x:v>
      </x:c>
      <x:c r="C22" t="n">
        <x:v>3561</x:v>
      </x:c>
      <x:c r="D22" t="n">
        <x:v>4310</x:v>
      </x:c>
      <x:c r="E22" t="n">
        <x:v>4894</x:v>
      </x:c>
      <x:c r="F22" t="n">
        <x:v>3197</x:v>
      </x:c>
      <x:c r="G22" t="n">
        <x:v>3887</x:v>
      </x:c>
      <x:c r="H22" t="n">
        <x:v>4408</x:v>
      </x:c>
      <x:c r="I22" t="n">
        <x:v>2772</x:v>
      </x:c>
      <x:c r="J22" t="n">
        <x:v>3272</x:v>
      </x:c>
      <x:c r="K22" t="n">
        <x:v>3656</x:v>
      </x:c>
      <x:c r="L22" s="2" t="n">
        <x:f>E22/C22-1</x:f>
        <x:v>0.37433305251333904</x:v>
      </x:c>
    </x:row>
    <x:row r="23">
      <x:c r="A23" s="28" t="str">
        <x:v>TOTAL CNAE 41–43</x:v>
      </x:c>
      <x:c r="B23" s="44" t="str"/>
      <x:c r="C23" s="28" t="n">
        <x:f>SUM(C2:C22)</x:f>
        <x:v>43452</x:v>
      </x:c>
      <x:c r="D23" s="28" t="n">
        <x:f>SUM(D2:D22)</x:f>
        <x:v>46672</x:v>
      </x:c>
      <x:c r="E23" s="28" t="n">
        <x:f>SUM(E2:E22)</x:f>
        <x:v>50789</x:v>
      </x:c>
      <x:c r="F23" s="28" t="n">
        <x:f>SUM(F2:F22)</x:f>
        <x:v>37905</x:v>
      </x:c>
      <x:c r="G23" s="28" t="n">
        <x:f>SUM(G2:G22)</x:f>
        <x:v>40292</x:v>
      </x:c>
      <x:c r="H23" s="28" t="n">
        <x:f>SUM(H2:H22)</x:f>
        <x:v>44091</x:v>
      </x:c>
      <x:c r="I23" s="28" t="n">
        <x:f>SUM(I2:I22)</x:f>
        <x:v>31858</x:v>
      </x:c>
      <x:c r="J23" s="28" t="n">
        <x:f>SUM(J2:J22)</x:f>
        <x:v>33451</x:v>
      </x:c>
      <x:c r="K23" s="28" t="n">
        <x:f>SUM(K2:K22)</x:f>
        <x:v>35907</x:v>
      </x:c>
      <x:c r="L23" s="29" t="n">
        <x:f>E23/C23-1</x:f>
        <x:v>0.16885298720427144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48" hidden="0" customWidth="1"/>
    <x:col min="4" max="4" width="20" hidden="0" customWidth="1"/>
    <x:col min="5" max="5" width="42" hidden="0" customWidth="1"/>
  </x:cols>
  <x:sheetData>
    <x:row r="1">
      <x:c r="A1" s="37" t="str">
        <x:v>Tipo</x:v>
      </x:c>
      <x:c r="B1" s="37" t="str">
        <x:v>Código</x:v>
      </x:c>
      <x:c r="C1" s="37" t="str">
        <x:v>Descrição</x:v>
      </x:c>
      <x:c r="D1" s="37" t="str">
        <x:v>Classificação</x:v>
      </x:c>
      <x:c r="E1" s="37" t="str">
        <x:v>Observação</x:v>
      </x:c>
    </x:row>
    <x:row r="2">
      <x:c r="A2" s="36" t="str">
        <x:v>Situação geradora</x:v>
      </x:c>
      <x:c r="B2" s="36" t="str">
        <x:v>200020700</x:v>
      </x:c>
      <x:c r="C2" s="36" t="str">
        <x:v>Aprisionamento em/sob/entre desabamento ou desmoronamento de edificação, barreira etc.</x:v>
      </x:c>
      <x:c r="D2" s="36" t="str">
        <x:v>INCLUIR — primário</x:v>
      </x:c>
      <x:c r="E2" s="36" t="str">
        <x:v>Marcador mais específico.</x:v>
      </x:c>
    </x:row>
    <x:row r="3">
      <x:c r="A3" s="36" t="str">
        <x:v>Agente causador</x:v>
      </x:c>
      <x:c r="B3" s="36" t="str">
        <x:v>302050100</x:v>
      </x:c>
      <x:c r="C3" s="36" t="str">
        <x:v>Edifício — edifício ou estrutura</x:v>
      </x:c>
      <x:c r="D3" s="36" t="str">
        <x:v>CANDIDATO</x:v>
      </x:c>
      <x:c r="E3" s="36" t="str">
        <x:v>Exige validação.</x:v>
      </x:c>
    </x:row>
    <x:row r="4">
      <x:c r="A4" s="36" t="str">
        <x:v>Agente causador</x:v>
      </x:c>
      <x:c r="B4" s="36" t="str">
        <x:v>302050500</x:v>
      </x:c>
      <x:c r="C4" s="36" t="str">
        <x:v>Ponte, viaduto — edifício ou estrutura</x:v>
      </x:c>
      <x:c r="D4" s="36" t="str">
        <x:v>CANDIDATO</x:v>
      </x:c>
      <x:c r="E4" s="36" t="str">
        <x:v>Exige validação.</x:v>
      </x:c>
    </x:row>
    <x:row r="5">
      <x:c r="A5" s="36" t="str">
        <x:v>Agente causador</x:v>
      </x:c>
      <x:c r="B5" s="36" t="str">
        <x:v>302050700</x:v>
      </x:c>
      <x:c r="C5" s="36" t="str">
        <x:v>Andaime, plataforma — edifício ou estrutura</x:v>
      </x:c>
      <x:c r="D5" s="36" t="str">
        <x:v>CANDIDATO</x:v>
      </x:c>
      <x:c r="E5" s="36" t="str">
        <x:v>Excluir simples queda sem colapso.</x:v>
      </x:c>
    </x:row>
    <x:row r="6">
      <x:c r="A6" s="36" t="str">
        <x:v>Agente causador</x:v>
      </x:c>
      <x:c r="B6" s="36" t="str">
        <x:v>302050900</x:v>
      </x:c>
      <x:c r="C6" s="36" t="str">
        <x:v>Edifício ou estrutura, NIC</x:v>
      </x:c>
      <x:c r="D6" s="36" t="str">
        <x:v>CANDIDATO</x:v>
      </x:c>
      <x:c r="E6" s="36" t="str">
        <x:v>Categoria ampla.</x:v>
      </x:c>
    </x:row>
    <x:row r="7">
      <x:c r="A7" s="36" t="str">
        <x:v>Agente causador</x:v>
      </x:c>
      <x:c r="B7" s="36" t="str">
        <x:v>302070100</x:v>
      </x:c>
      <x:c r="C7" s="36" t="str">
        <x:v>Escavação</x:v>
      </x:c>
      <x:c r="D7" s="36" t="str">
        <x:v>CANDIDATO</x:v>
      </x:c>
      <x:c r="E7" s="36" t="str">
        <x:v>Foco em desmoronamento/soterramento.</x:v>
      </x:c>
    </x:row>
    <x:row r="8">
      <x:c r="A8" s="36" t="str">
        <x:v>Agente causador</x:v>
      </x:c>
      <x:c r="B8" s="36" t="str">
        <x:v>302070300</x:v>
      </x:c>
      <x:c r="C8" s="36" t="str">
        <x:v>Canal, fosso</x:v>
      </x:c>
      <x:c r="D8" s="36" t="str">
        <x:v>CANDIDATO</x:v>
      </x:c>
      <x:c r="E8" s="36" t="str">
        <x:v>Exige validação.</x:v>
      </x:c>
    </x:row>
    <x:row r="9">
      <x:c r="A9" s="36" t="str">
        <x:v>Agente causador</x:v>
      </x:c>
      <x:c r="B9" s="36" t="str">
        <x:v>302070700</x:v>
      </x:c>
      <x:c r="C9" s="36" t="str">
        <x:v>Túnel</x:v>
      </x:c>
      <x:c r="D9" s="36" t="str">
        <x:v>CANDIDATO</x:v>
      </x:c>
      <x:c r="E9" s="36" t="str">
        <x:v>Exige validação.</x:v>
      </x:c>
    </x:row>
    <x:row r="10">
      <x:c r="A10" s="36" t="str">
        <x:v>Agente causador</x:v>
      </x:c>
      <x:c r="B10" s="36" t="str">
        <x:v>302070900</x:v>
      </x:c>
      <x:c r="C10" s="36" t="str">
        <x:v>Escavação, fosso, túnel, NIC</x:v>
      </x:c>
      <x:c r="D10" s="36" t="str">
        <x:v>CANDIDATO</x:v>
      </x:c>
      <x:c r="E10" s="36" t="str">
        <x:v>Categoria ampla.</x:v>
      </x:c>
    </x:row>
    <x:row r="11">
      <x:c r="A11" s="36" t="str">
        <x:v>Situação geradora</x:v>
      </x:c>
      <x:c r="B11" s="36" t="str">
        <x:v>200012200</x:v>
      </x:c>
      <x:c r="C11" s="36" t="str">
        <x:v>Queda de pessoa de andaime/passagem/plataforma</x:v>
      </x:c>
      <x:c r="D11" s="36" t="str">
        <x:v>EXCLUIR por padrão</x:v>
      </x:c>
      <x:c r="E11" s="36" t="str">
        <x:v>Só incluir com evidência de colapso.</x:v>
      </x:c>
    </x:row>
    <x:row r="12">
      <x:c r="A12" s="36" t="str">
        <x:v>Situação geradora</x:v>
      </x:c>
      <x:c r="B12" s="36" t="str">
        <x:v>200012700</x:v>
      </x:c>
      <x:c r="C12" s="36" t="str">
        <x:v>Queda em poço/escavação/abertura no piso</x:v>
      </x:c>
      <x:c r="D12" s="36" t="str">
        <x:v>EXCLUIR por padrão</x:v>
      </x:c>
      <x:c r="E12" s="36" t="str">
        <x:v>Não é desmoronamento por si só.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34" hidden="0" customWidth="1"/>
    <x:col min="4" max="4" width="34" hidden="0" customWidth="1"/>
    <x:col min="5" max="5" width="34" hidden="0" customWidth="1"/>
    <x:col min="6" max="6" width="55" hidden="0" customWidth="1"/>
  </x:cols>
  <x:sheetData>
    <x:row r="1">
      <x:c r="A1" s="37" t="str">
        <x:v>Ano</x:v>
      </x:c>
      <x:c r="B1" s="37" t="str">
        <x:v>Caso</x:v>
      </x:c>
      <x:c r="C1" s="37" t="str">
        <x:v>Categoria MTE</x:v>
      </x:c>
      <x:c r="D1" s="37" t="str">
        <x:v>Evento</x:v>
      </x:c>
      <x:c r="E1" s="37" t="str">
        <x:v>Uso sugerido</x:v>
      </x:c>
      <x:c r="F1" s="37" t="str">
        <x:v>Fonte</x:v>
      </x:c>
    </x:row>
    <x:row r="2">
      <x:c r="A2" s="36" t="n">
        <x:v>2019</x:v>
      </x:c>
      <x:c r="B2" s="36" t="str">
        <x:v>Egon Hoepers — Nova Mutum/MT</x:v>
      </x:c>
      <x:c r="C2" s="36" t="str">
        <x:v>Soterramento, Desabamento, Desmoronamento</x:v>
      </x:c>
      <x:c r="D2" s="36" t="str">
        <x:v>Fatal e grave</x:v>
      </x:c>
      <x:c r="E2" s="36" t="str">
        <x:v>Estudo de caso qualitativo</x:v>
      </x:c>
      <x:c r="F2" s="36" t="str">
        <x:v>https://www.gov.br/trabalho-e-emprego/pt-br/assuntos/inspecao-do-trabalho/seguranca-e-saude-no-trabalho/acidentes-de-trabalho-informacoes</x:v>
      </x:c>
    </x:row>
    <x:row r="3">
      <x:c r="A3" s="36" t="n">
        <x:v>2018</x:v>
      </x:c>
      <x:c r="B3" s="36" t="str">
        <x:v>Center Pav Pavimentação e Construções Ltda — Cuiabá/MT</x:v>
      </x:c>
      <x:c r="C3" s="36" t="str">
        <x:v>Soterramento, Desabamento, Desmoronamento</x:v>
      </x:c>
      <x:c r="D3" s="36" t="str">
        <x:v>Fatal e grave</x:v>
      </x:c>
      <x:c r="E3" s="36" t="str">
        <x:v>Estudo de caso qualitativo</x:v>
      </x:c>
      <x:c r="F3" s="36" t="str">
        <x:v>https://www.gov.br/trabalho-e-emprego/pt-br/assuntos/inspecao-do-trabalho/seguranca-e-saude-no-trabalho/acidentes-de-trabalho-informacoes</x:v>
      </x:c>
    </x:row>
    <x:row r="4">
      <x:c r="A4" s="36" t="n">
        <x:v>2018</x:v>
      </x:c>
      <x:c r="B4" s="36" t="str">
        <x:v>Cirlene T. M. Pospieka Eireli — Primavera do Leste/MT</x:v>
      </x:c>
      <x:c r="C4" s="36" t="str">
        <x:v>Soterramento, Desabamento, Desmoronamento</x:v>
      </x:c>
      <x:c r="D4" s="36" t="str">
        <x:v>Fatal</x:v>
      </x:c>
      <x:c r="E4" s="36" t="str">
        <x:v>Estudo de caso qualitativo</x:v>
      </x:c>
      <x:c r="F4" s="36" t="str">
        <x:v>https://www.gov.br/trabalho-e-emprego/pt-br/assuntos/inspecao-do-trabalho/seguranca-e-saude-no-trabalho/acidentes-de-trabalho-informacoes</x:v>
      </x:c>
    </x:row>
    <x:row r="5">
      <x:c r="A5" s="36" t="n">
        <x:v>2019</x:v>
      </x:c>
      <x:c r="B5" s="36" t="str">
        <x:v>Vale S.A. — Brumadinho/MG</x:v>
      </x:c>
      <x:c r="C5" s="36" t="str">
        <x:v>Soterramento, Desabamento, Desmoronamento</x:v>
      </x:c>
      <x:c r="D5" s="36" t="str">
        <x:v>Rompimento de barragem — fatal</x:v>
      </x:c>
      <x:c r="E5" s="36" t="str">
        <x:v>Avaliar exclusão se foco for fase de obra</x:v>
      </x:c>
      <x:c r="F5" s="36" t="str">
        <x:v>https://www.gov.br/trabalho-e-emprego/pt-br/assuntos/inspecao-do-trabalho/seguranca-e-saude-no-trabalho/acidentes-de-trabalho-informacoes</x:v>
      </x:c>
    </x:row>
    <x:row r="6">
      <x:c r="A6" s="36" t="n">
        <x:v>2015</x:v>
      </x:c>
      <x:c r="B6" s="36" t="str">
        <x:v>Samarco — Mariana/MG</x:v>
      </x:c>
      <x:c r="C6" s="36" t="str">
        <x:v>Soterramento, Desabamento, Desmoronamento</x:v>
      </x:c>
      <x:c r="D6" s="36" t="str">
        <x:v>Rompimento de barragem — fatal</x:v>
      </x:c>
      <x:c r="E6" s="36" t="str">
        <x:v>Avaliar exclusão se foco for fase de obra</x:v>
      </x:c>
      <x:c r="F6" s="36" t="str">
        <x:v>https://www.gov.br/trabalho-e-emprego/pt-br/assuntos/inspecao-do-trabalho/seguranca-e-saude-no-trabalho/acidentes-de-trabalho-informacoes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65" hidden="0" customWidth="1"/>
  </x:cols>
  <x:sheetData>
    <x:row r="1">
      <x:c r="A1" s="37" t="str">
        <x:v>Fonte</x:v>
      </x:c>
      <x:c r="B1" s="37" t="str">
        <x:v>Uso</x:v>
      </x:c>
      <x:c r="C1" s="37" t="str">
        <x:v>URL</x:v>
      </x:c>
    </x:row>
    <x:row r="2">
      <x:c r="A2" s="36" t="str">
        <x:v>AEAT 2024 — Tabela 1.1</x:v>
      </x:c>
      <x:c r="B2" s="36" t="str">
        <x:v>Acidentes por CNAE, 2022–2024</x:v>
      </x:c>
      <x:c r="C2" s="36" t="str">
        <x:v>https://www.gov.br/previdencia/pt-br/assuntos/previdencia-social/arquivos/AEAT-2024/secao-i-estatisticas-de-acidentes-do-trabalho/subsecao-a-acidentes-do-trabalho/capitulo-1-brasil-e-grandes-regioes/1-1-quantidade-de-acidentes-do-trabalho-por-situacao-do-registro-e-motivo-segundo-a-classifi-cacao-nacional-de-atividades-economicas-cnae-no-brasil-2018-2019</x:v>
      </x:c>
    </x:row>
    <x:row r="3">
      <x:c r="A3" s="36" t="str">
        <x:v>AEAT 2024 — Tabela 59.2</x:v>
      </x:c>
      <x:c r="B3" s="36" t="str">
        <x:v>Incidência, mortalidade e letalidade por CNAE</x:v>
      </x:c>
      <x:c r="C3" s="36" t="str">
        <x:v>https://www.gov.br/previdencia/pt-br/assuntos/previdencia-social/arquivos/AEAT-2024/subsecao_a_acidentes_do_trabalho/capitulo-59-brasil/59-2-indicadores-de-acidentes-do-trabalho-segundo-a-classificacao-nacional-de-atividades-economicas-cnae-brasil-2019</x:v>
      </x:c>
    </x:row>
    <x:row r="4">
      <x:c r="A4" s="36" t="str">
        <x:v>INSS — CAT aberta</x:v>
      </x:c>
      <x:c r="B4" s="36" t="str">
        <x:v>Microdados mensais</x:v>
      </x:c>
      <x:c r="C4" s="36" t="str">
        <x:v>https://dadosabertos.inss.gov.br/dataset/comunicacoes-de-acidente-de-trabalho-cat-plano-de-dados-abertos-jun-2023-a-jun-2025</x:v>
      </x:c>
    </x:row>
    <x:row r="5">
      <x:c r="A5" s="36" t="str">
        <x:v>eSocial — Tabelas 14 e 15</x:v>
      </x:c>
      <x:c r="B5" s="36" t="str">
        <x:v>Agente causador e situação geradora</x:v>
      </x:c>
      <x:c r="C5" s="36" t="str">
        <x:v>https://www.gov.br/esocial/pt-br/documentacao-tecnica/leiautes-esocial-versao-s-1-3-nt-07-2026/tabelas.html/view</x:v>
      </x:c>
    </x:row>
    <x:row r="6">
      <x:c r="A6" s="36" t="str">
        <x:v>MTE/SIT — Acidentes do Trabalho</x:v>
      </x:c>
      <x:c r="B6" s="36" t="str">
        <x:v>Relatórios analisados</x:v>
      </x:c>
      <x:c r="C6" s="36" t="str">
        <x:v>https://www.gov.br/trabalho-e-emprego/pt-br/assuntos/inspecao-do-trabalho/seguranca-e-saude-no-trabalho/acidentes-de-trabalho-informacoes</x:v>
      </x:c>
    </x:row>
  </x:sheetData>
  <x:pageMargins left="0.7" right="0.7" top="0.75" bottom="0.75" header="0.3" footer="0.3"/>
</x:worksheet>
</file>